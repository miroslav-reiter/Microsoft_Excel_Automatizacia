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0d4d1b27afcb5a/! Moje/! Zatrieď/"/>
    </mc:Choice>
  </mc:AlternateContent>
  <xr:revisionPtr revIDLastSave="1" documentId="13_ncr:1_{2631D2F4-C2F0-4655-BDA0-104DFC775A27}" xr6:coauthVersionLast="47" xr6:coauthVersionMax="47" xr10:uidLastSave="{A6683299-E74C-4C86-9A62-A1E6D182036B}"/>
  <bookViews>
    <workbookView xWindow="180" yWindow="320" windowWidth="16860" windowHeight="13480" activeTab="3" xr2:uid="{1AADD7C3-B733-4A9D-BAE7-F33FC520A782}"/>
  </bookViews>
  <sheets>
    <sheet name="Hárok1" sheetId="1" r:id="rId1"/>
    <sheet name="Hárok2" sheetId="3" r:id="rId2"/>
    <sheet name="dataset" sheetId="2" r:id="rId3"/>
    <sheet name="dataset (2)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4" l="1"/>
  <c r="P8" i="4"/>
  <c r="C4" i="1"/>
  <c r="C3" i="1"/>
  <c r="K21" i="1" a="1"/>
  <c r="K21" i="1" s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M25" i="1" l="1"/>
  <c r="O23" i="1"/>
  <c r="L22" i="1"/>
  <c r="O26" i="1"/>
  <c r="L25" i="1"/>
  <c r="N23" i="1"/>
  <c r="K22" i="1"/>
  <c r="N26" i="1"/>
  <c r="K25" i="1"/>
  <c r="M23" i="1"/>
  <c r="O21" i="1"/>
  <c r="M22" i="1"/>
  <c r="M26" i="1"/>
  <c r="O24" i="1"/>
  <c r="L23" i="1"/>
  <c r="N21" i="1"/>
  <c r="L26" i="1"/>
  <c r="N24" i="1"/>
  <c r="K23" i="1"/>
  <c r="M21" i="1"/>
  <c r="K24" i="1"/>
  <c r="K26" i="1"/>
  <c r="M24" i="1"/>
  <c r="O22" i="1"/>
  <c r="L21" i="1"/>
  <c r="N25" i="1"/>
  <c r="O25" i="1"/>
  <c r="L24" i="1"/>
  <c r="N22" i="1"/>
</calcChain>
</file>

<file path=xl/sharedStrings.xml><?xml version="1.0" encoding="utf-8"?>
<sst xmlns="http://schemas.openxmlformats.org/spreadsheetml/2006/main" count="329" uniqueCount="102">
  <si>
    <t>Rok</t>
  </si>
  <si>
    <t>ZŠ (BA I)</t>
  </si>
  <si>
    <t>Gymnáziá (BA I)</t>
  </si>
  <si>
    <t>SOŠ (BA I)</t>
  </si>
  <si>
    <t>ZŠ (BA II)</t>
  </si>
  <si>
    <t>Gymnáziá (BA II)</t>
  </si>
  <si>
    <t>SOŠ (BA II)</t>
  </si>
  <si>
    <t>ZŠ (BA III)</t>
  </si>
  <si>
    <t>Gymnáziá (BA III)</t>
  </si>
  <si>
    <t>SOŠ (BA III)</t>
  </si>
  <si>
    <t>ZŠ (BA IV)</t>
  </si>
  <si>
    <t>Gymnáziá (BA IV)</t>
  </si>
  <si>
    <t>SOŠ (BA IV)</t>
  </si>
  <si>
    <t>ZŠ (BA V)</t>
  </si>
  <si>
    <t>Gymnáziá (BA V)</t>
  </si>
  <si>
    <t>SOŠ (BA V)</t>
  </si>
  <si>
    <t>Data</t>
  </si>
  <si>
    <t>858,1</t>
  </si>
  <si>
    <t>859,6</t>
  </si>
  <si>
    <t>840,7</t>
  </si>
  <si>
    <t>849,9</t>
  </si>
  <si>
    <t>873,9</t>
  </si>
  <si>
    <t>875,9</t>
  </si>
  <si>
    <t>934,8</t>
  </si>
  <si>
    <t>685,7</t>
  </si>
  <si>
    <t>1236,2</t>
  </si>
  <si>
    <t>935,6</t>
  </si>
  <si>
    <t>828,1</t>
  </si>
  <si>
    <t>819,7</t>
  </si>
  <si>
    <t>967,2</t>
  </si>
  <si>
    <t>739,7</t>
  </si>
  <si>
    <t>900,8</t>
  </si>
  <si>
    <t>886,6</t>
  </si>
  <si>
    <t>851,8</t>
  </si>
  <si>
    <t>856,9</t>
  </si>
  <si>
    <t>865,3</t>
  </si>
  <si>
    <t>911,8</t>
  </si>
  <si>
    <t>878,1</t>
  </si>
  <si>
    <t>770,1</t>
  </si>
  <si>
    <t>994,1</t>
  </si>
  <si>
    <t>1265,1</t>
  </si>
  <si>
    <t>931,3</t>
  </si>
  <si>
    <t>857,8</t>
  </si>
  <si>
    <t>982,4</t>
  </si>
  <si>
    <t>564,5</t>
  </si>
  <si>
    <t>982,6</t>
  </si>
  <si>
    <t>1014,6</t>
  </si>
  <si>
    <t>927,6</t>
  </si>
  <si>
    <t>905,6</t>
  </si>
  <si>
    <t>979,1</t>
  </si>
  <si>
    <t>967,8</t>
  </si>
  <si>
    <t>1025,5</t>
  </si>
  <si>
    <t>834,9</t>
  </si>
  <si>
    <t>966,3</t>
  </si>
  <si>
    <t>1348,7</t>
  </si>
  <si>
    <t>1093,9</t>
  </si>
  <si>
    <t>910,3</t>
  </si>
  <si>
    <t>1032,8</t>
  </si>
  <si>
    <t>812,3</t>
  </si>
  <si>
    <t>1029,9</t>
  </si>
  <si>
    <t>1097,5</t>
  </si>
  <si>
    <t>1017,7</t>
  </si>
  <si>
    <t>996,5</t>
  </si>
  <si>
    <t>1059,8</t>
  </si>
  <si>
    <t>1035,1</t>
  </si>
  <si>
    <t>1056,9</t>
  </si>
  <si>
    <t>753,1</t>
  </si>
  <si>
    <t>1084,2</t>
  </si>
  <si>
    <t>1380,5</t>
  </si>
  <si>
    <t>1159,1</t>
  </si>
  <si>
    <t>1027,2</t>
  </si>
  <si>
    <t>1001,7</t>
  </si>
  <si>
    <t>1094,5</t>
  </si>
  <si>
    <t>1152,1</t>
  </si>
  <si>
    <t>1347,5</t>
  </si>
  <si>
    <t>1264,2</t>
  </si>
  <si>
    <t>1106,5</t>
  </si>
  <si>
    <t>1248,9</t>
  </si>
  <si>
    <t>1235,7</t>
  </si>
  <si>
    <t>1128,1</t>
  </si>
  <si>
    <t>1114,4</t>
  </si>
  <si>
    <t>1130,9</t>
  </si>
  <si>
    <t>1460,6</t>
  </si>
  <si>
    <t>1337,3</t>
  </si>
  <si>
    <t>1307,5</t>
  </si>
  <si>
    <t>1122,5</t>
  </si>
  <si>
    <t>1334,3</t>
  </si>
  <si>
    <t>616,7</t>
  </si>
  <si>
    <t>1249,4</t>
  </si>
  <si>
    <t>1520,4</t>
  </si>
  <si>
    <t>1375,3</t>
  </si>
  <si>
    <t>1204,2</t>
  </si>
  <si>
    <t>1326,7</t>
  </si>
  <si>
    <t>1242,6</t>
  </si>
  <si>
    <t>1232,9</t>
  </si>
  <si>
    <t>1287,4</t>
  </si>
  <si>
    <t>1550,1</t>
  </si>
  <si>
    <t>1488,9</t>
  </si>
  <si>
    <t>1252,4</t>
  </si>
  <si>
    <t>1241,8</t>
  </si>
  <si>
    <t>1456,8</t>
  </si>
  <si>
    <t>Celková hodnota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</si>
</sst>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rgb="FFFF0000"/>
      <name val="Tahoma"/>
      <family val="2"/>
      <charset val="238"/>
    </font>
    <font>
      <b/>
      <i/>
      <sz val="11"/>
      <color rgb="FFFFFF00"/>
      <name val="Arial"/>
      <family val="2"/>
      <charset val="238"/>
    </font>
    <font>
      <b/>
      <i/>
      <sz val="11"/>
      <color rgb="FFFF00FF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6F9455-AC6C-42D3-B1FF-93769DF57111}" name="tab1" displayName="tab1_" ref="A1:P7" totalsRowShown="0">
  <autoFilter ref="A1:P7" xr:uid="{8A6F9455-AC6C-42D3-B1FF-93769DF57111}"/>
  <tableColumns count="16">
    <tableColumn id="1" xr3:uid="{1F6F832A-929B-4723-926D-46766201035B}" name="Rok"/>
    <tableColumn id="2" xr3:uid="{284E6367-C586-4420-8DC1-5185A36D89CA}" name="ZŠ (BA I)"/>
    <tableColumn id="3" xr3:uid="{6667C8B5-E1FD-4CD0-90B9-1F4DE94461FC}" name="Gymnáziá (BA I)"/>
    <tableColumn id="4" xr3:uid="{10D401F8-8B10-473B-B461-F256800575CE}" name="SOŠ (BA I)"/>
    <tableColumn id="5" xr3:uid="{10DA92B4-CAC3-4795-9304-D77DC36557F7}" name="ZŠ (BA II)"/>
    <tableColumn id="6" xr3:uid="{C5783D16-C9C6-4791-AEAA-A3CF4A63D892}" name="Gymnáziá (BA II)"/>
    <tableColumn id="7" xr3:uid="{4DBE0B5B-54BB-43BF-BDB5-F38202C2F9CD}" name="SOŠ (BA II)"/>
    <tableColumn id="8" xr3:uid="{D1A5D943-8E93-4F6E-8C2D-D1819A5D5184}" name="ZŠ (BA III)"/>
    <tableColumn id="9" xr3:uid="{E83CBC63-F90E-48DB-8427-D9785FA5BE08}" name="Gymnáziá (BA III)"/>
    <tableColumn id="10" xr3:uid="{077B72DA-7025-4761-931A-07F332B4DB0E}" name="SOŠ (BA III)"/>
    <tableColumn id="11" xr3:uid="{7158FD45-3612-4DC2-B816-44C28750F9B4}" name="ZŠ (BA IV)"/>
    <tableColumn id="12" xr3:uid="{3654DAF4-6BDB-484B-B3D2-D91DCB4A6293}" name="Gymnáziá (BA IV)"/>
    <tableColumn id="13" xr3:uid="{C27FBF18-3E02-4485-820F-A17911462646}" name="SOŠ (BA IV)"/>
    <tableColumn id="14" xr3:uid="{4C909681-6C37-4047-AAC1-8F3B68FE72BB}" name="ZŠ (BA V)"/>
    <tableColumn id="15" xr3:uid="{E79D907D-159F-45F7-8029-2D037F836C6E}" name="Gymnáziá (BA V)"/>
    <tableColumn id="16" xr3:uid="{F0AAA44D-A5BD-4045-ABFF-788B33DAB8F1}" name="SOŠ (BA V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5AA882-8368-440B-B71C-8456D8CEB5C0}" name="tab_skoly" displayName="tab_skoly" ref="A1:P8" totalsRowCount="1">
  <autoFilter ref="A1:P7" xr:uid="{735AA882-8368-440B-B71C-8456D8CEB5C0}"/>
  <tableColumns count="16">
    <tableColumn id="1" xr3:uid="{B9D19DE3-7041-45BE-9267-F071B13301B4}" name="Rok" totalsRowLabel="Celková hodnota"/>
    <tableColumn id="2" xr3:uid="{209BCA4B-5E17-4C54-BA73-080B9456F995}" name="ZŠ (BA I)"/>
    <tableColumn id="3" xr3:uid="{07B3F174-4B60-454A-A017-60A3A9988068}" name="Gymnáziá (BA I)"/>
    <tableColumn id="4" xr3:uid="{CC4DBE29-3054-49B2-B5FE-B0861160C219}" name="SOŠ (BA I)"/>
    <tableColumn id="5" xr3:uid="{AF9B92F7-D4AA-4DF3-92A2-080A7A581273}" name="ZŠ (BA II)"/>
    <tableColumn id="6" xr3:uid="{9604E7D7-32DE-4A96-8F2B-5C4D6D4346EB}" name="Gymnáziá (BA II)"/>
    <tableColumn id="7" xr3:uid="{2B7FF877-D674-4701-997B-2974520F1869}" name="SOŠ (BA II)"/>
    <tableColumn id="8" xr3:uid="{D87E763C-238C-4B26-BA7C-1510A784183E}" name="ZŠ (BA III)"/>
    <tableColumn id="9" xr3:uid="{0E46597D-4E50-4883-B7D0-5EC791EE2102}" name="Gymnáziá (BA III)"/>
    <tableColumn id="10" xr3:uid="{15457E9F-AAEF-4F99-B780-B053DA0B0179}" name="SOŠ (BA III)"/>
    <tableColumn id="11" xr3:uid="{F8B1E2E9-CF3F-44AB-8DAD-B269F12F7922}" name="ZŠ (BA IV)"/>
    <tableColumn id="12" xr3:uid="{20E8C65D-828C-450B-94A3-9D23624FD0F6}" name="Gymnáziá (BA IV)"/>
    <tableColumn id="13" xr3:uid="{A5C773BB-EDAC-4451-B6F3-073D5B397143}" name="SOŠ (BA IV)"/>
    <tableColumn id="14" xr3:uid="{B910A3D7-97E7-41E7-9367-83BA0E8593E3}" name="ZŠ (BA V)"/>
    <tableColumn id="15" xr3:uid="{754A3BD0-F53F-4060-8779-DA076ADAFE62}" name="Gymnáziá (BA V)" totalsRowFunction="count"/>
    <tableColumn id="16" xr3:uid="{0DCD1643-7A95-49A5-8E4D-16B7A4D782F3}" name="SOŠ (BA V)" totalsRowFunction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4CDB1-A0E0-40EC-BCB6-6D94599584D0}">
  <sheetPr codeName="Hárok1"/>
  <dimension ref="A1:O26"/>
  <sheetViews>
    <sheetView zoomScale="160" zoomScaleNormal="160" workbookViewId="0">
      <selection sqref="A1:A5"/>
    </sheetView>
  </sheetViews>
  <sheetFormatPr defaultRowHeight="14.5" x14ac:dyDescent="0.35"/>
  <cols>
    <col min="10" max="14" width="8.90625" bestFit="1" customWidth="1"/>
  </cols>
  <sheetData>
    <row r="1" spans="1:14" x14ac:dyDescent="0.35">
      <c r="A1" s="2">
        <v>1</v>
      </c>
      <c r="C1">
        <v>15</v>
      </c>
    </row>
    <row r="2" spans="1:14" x14ac:dyDescent="0.35">
      <c r="A2" s="2">
        <v>2</v>
      </c>
      <c r="C2">
        <v>3</v>
      </c>
    </row>
    <row r="3" spans="1:14" x14ac:dyDescent="0.35">
      <c r="A3">
        <v>3</v>
      </c>
      <c r="C3">
        <f>AVERAGE(A1:A5)</f>
        <v>3</v>
      </c>
    </row>
    <row r="4" spans="1:14" x14ac:dyDescent="0.35">
      <c r="A4">
        <v>4</v>
      </c>
      <c r="C4">
        <f>SUM(A1:A5)</f>
        <v>15</v>
      </c>
    </row>
    <row r="5" spans="1:14" x14ac:dyDescent="0.35">
      <c r="A5">
        <v>5</v>
      </c>
    </row>
    <row r="7" spans="1:14" x14ac:dyDescent="0.35">
      <c r="J7" s="1">
        <f t="shared" ref="J7:N15" ca="1" si="0">TODAY()</f>
        <v>44841</v>
      </c>
      <c r="K7" s="1">
        <f t="shared" ca="1" si="0"/>
        <v>44841</v>
      </c>
      <c r="L7" s="1">
        <f t="shared" ca="1" si="0"/>
        <v>44841</v>
      </c>
      <c r="M7" s="1">
        <f t="shared" ca="1" si="0"/>
        <v>44841</v>
      </c>
      <c r="N7" s="1">
        <f t="shared" ca="1" si="0"/>
        <v>44841</v>
      </c>
    </row>
    <row r="8" spans="1:14" x14ac:dyDescent="0.35">
      <c r="J8" s="1">
        <f t="shared" ca="1" si="0"/>
        <v>44841</v>
      </c>
      <c r="K8" s="1">
        <f t="shared" ca="1" si="0"/>
        <v>44841</v>
      </c>
      <c r="L8" s="1">
        <f t="shared" ca="1" si="0"/>
        <v>44841</v>
      </c>
      <c r="M8" s="1">
        <f t="shared" ca="1" si="0"/>
        <v>44841</v>
      </c>
      <c r="N8" s="1">
        <f t="shared" ca="1" si="0"/>
        <v>44841</v>
      </c>
    </row>
    <row r="9" spans="1:14" x14ac:dyDescent="0.35">
      <c r="B9" s="2"/>
      <c r="J9" s="1">
        <f t="shared" ca="1" si="0"/>
        <v>44841</v>
      </c>
      <c r="K9" s="1">
        <f t="shared" ca="1" si="0"/>
        <v>44841</v>
      </c>
      <c r="L9" s="1">
        <f t="shared" ca="1" si="0"/>
        <v>44841</v>
      </c>
      <c r="M9" s="1">
        <f t="shared" ca="1" si="0"/>
        <v>44841</v>
      </c>
      <c r="N9" s="1">
        <f t="shared" ca="1" si="0"/>
        <v>44841</v>
      </c>
    </row>
    <row r="10" spans="1:14" x14ac:dyDescent="0.35">
      <c r="J10" s="1">
        <f t="shared" ca="1" si="0"/>
        <v>44841</v>
      </c>
      <c r="K10" s="1">
        <f t="shared" ca="1" si="0"/>
        <v>44841</v>
      </c>
      <c r="L10" s="1">
        <f t="shared" ca="1" si="0"/>
        <v>44841</v>
      </c>
      <c r="M10" s="1">
        <f t="shared" ca="1" si="0"/>
        <v>44841</v>
      </c>
      <c r="N10" s="1">
        <f t="shared" ca="1" si="0"/>
        <v>44841</v>
      </c>
    </row>
    <row r="11" spans="1:14" x14ac:dyDescent="0.35">
      <c r="J11" s="1">
        <f t="shared" ca="1" si="0"/>
        <v>44841</v>
      </c>
      <c r="K11" s="1">
        <f t="shared" ca="1" si="0"/>
        <v>44841</v>
      </c>
      <c r="L11" s="1">
        <f t="shared" ca="1" si="0"/>
        <v>44841</v>
      </c>
      <c r="M11" s="1">
        <f t="shared" ca="1" si="0"/>
        <v>44841</v>
      </c>
      <c r="N11" s="1">
        <f t="shared" ca="1" si="0"/>
        <v>44841</v>
      </c>
    </row>
    <row r="12" spans="1:14" x14ac:dyDescent="0.35">
      <c r="J12" s="1">
        <f t="shared" ca="1" si="0"/>
        <v>44841</v>
      </c>
      <c r="K12" s="1">
        <f t="shared" ca="1" si="0"/>
        <v>44841</v>
      </c>
      <c r="L12" s="1">
        <f t="shared" ca="1" si="0"/>
        <v>44841</v>
      </c>
      <c r="M12" s="1">
        <f t="shared" ca="1" si="0"/>
        <v>44841</v>
      </c>
      <c r="N12" s="1">
        <f t="shared" ca="1" si="0"/>
        <v>44841</v>
      </c>
    </row>
    <row r="13" spans="1:14" x14ac:dyDescent="0.35">
      <c r="J13" s="1">
        <f t="shared" ca="1" si="0"/>
        <v>44841</v>
      </c>
      <c r="K13" s="1">
        <f t="shared" ca="1" si="0"/>
        <v>44841</v>
      </c>
      <c r="L13" s="1">
        <f t="shared" ca="1" si="0"/>
        <v>44841</v>
      </c>
      <c r="M13" s="1">
        <f t="shared" ca="1" si="0"/>
        <v>44841</v>
      </c>
      <c r="N13" s="1">
        <f t="shared" ca="1" si="0"/>
        <v>44841</v>
      </c>
    </row>
    <row r="14" spans="1:14" x14ac:dyDescent="0.35">
      <c r="J14" s="1">
        <f t="shared" ca="1" si="0"/>
        <v>44841</v>
      </c>
      <c r="K14" s="1">
        <f t="shared" ca="1" si="0"/>
        <v>44841</v>
      </c>
      <c r="L14" s="1">
        <f t="shared" ca="1" si="0"/>
        <v>44841</v>
      </c>
      <c r="M14" s="1">
        <f t="shared" ca="1" si="0"/>
        <v>44841</v>
      </c>
      <c r="N14" s="1">
        <f t="shared" ca="1" si="0"/>
        <v>44841</v>
      </c>
    </row>
    <row r="15" spans="1:14" x14ac:dyDescent="0.35">
      <c r="J15" s="1">
        <f t="shared" ca="1" si="0"/>
        <v>44841</v>
      </c>
      <c r="K15" s="1">
        <f t="shared" ca="1" si="0"/>
        <v>44841</v>
      </c>
      <c r="L15" s="1">
        <f t="shared" ca="1" si="0"/>
        <v>44841</v>
      </c>
      <c r="M15" s="1">
        <f t="shared" ca="1" si="0"/>
        <v>44841</v>
      </c>
      <c r="N15" s="1">
        <f t="shared" ca="1" si="0"/>
        <v>44841</v>
      </c>
    </row>
    <row r="21" spans="11:15" x14ac:dyDescent="0.35">
      <c r="K21">
        <f t="array" aca="1" ref="K21:O26" ca="1">NOW()</f>
        <v>44841.917831250001</v>
      </c>
      <c r="L21">
        <f ca="1"/>
        <v>44841.917831250001</v>
      </c>
      <c r="M21">
        <f ca="1"/>
        <v>44841.917831250001</v>
      </c>
      <c r="N21">
        <f ca="1"/>
        <v>44841.917831250001</v>
      </c>
      <c r="O21">
        <f ca="1"/>
        <v>44841.917831250001</v>
      </c>
    </row>
    <row r="22" spans="11:15" x14ac:dyDescent="0.35">
      <c r="K22">
        <f ca="1"/>
        <v>44841.917831250001</v>
      </c>
      <c r="L22">
        <f ca="1"/>
        <v>44841.917831250001</v>
      </c>
      <c r="M22">
        <f ca="1"/>
        <v>44841.917831250001</v>
      </c>
      <c r="N22">
        <f ca="1"/>
        <v>44841.917831250001</v>
      </c>
      <c r="O22">
        <f ca="1"/>
        <v>44841.917831250001</v>
      </c>
    </row>
    <row r="23" spans="11:15" x14ac:dyDescent="0.35">
      <c r="K23">
        <f ca="1"/>
        <v>44841.917831250001</v>
      </c>
      <c r="L23">
        <f ca="1"/>
        <v>44841.917831250001</v>
      </c>
      <c r="M23">
        <f ca="1"/>
        <v>44841.917831250001</v>
      </c>
      <c r="N23">
        <f ca="1"/>
        <v>44841.917831250001</v>
      </c>
      <c r="O23">
        <f ca="1"/>
        <v>44841.917831250001</v>
      </c>
    </row>
    <row r="24" spans="11:15" x14ac:dyDescent="0.35">
      <c r="K24">
        <f ca="1"/>
        <v>44841.917831250001</v>
      </c>
      <c r="L24">
        <f ca="1"/>
        <v>44841.917831250001</v>
      </c>
      <c r="M24">
        <f ca="1"/>
        <v>44841.917831250001</v>
      </c>
      <c r="N24">
        <f ca="1"/>
        <v>44841.917831250001</v>
      </c>
      <c r="O24">
        <f ca="1"/>
        <v>44841.917831250001</v>
      </c>
    </row>
    <row r="25" spans="11:15" x14ac:dyDescent="0.35">
      <c r="K25">
        <f ca="1"/>
        <v>44841.917831250001</v>
      </c>
      <c r="L25">
        <f ca="1"/>
        <v>44841.917831250001</v>
      </c>
      <c r="M25">
        <f ca="1"/>
        <v>44841.917831250001</v>
      </c>
      <c r="N25">
        <f ca="1"/>
        <v>44841.917831250001</v>
      </c>
      <c r="O25">
        <f ca="1"/>
        <v>44841.917831250001</v>
      </c>
    </row>
    <row r="26" spans="11:15" x14ac:dyDescent="0.35">
      <c r="K26">
        <f ca="1"/>
        <v>44841.917831250001</v>
      </c>
      <c r="L26">
        <f ca="1"/>
        <v>44841.917831250001</v>
      </c>
      <c r="M26">
        <f ca="1"/>
        <v>44841.917831250001</v>
      </c>
      <c r="N26">
        <f ca="1"/>
        <v>44841.917831250001</v>
      </c>
      <c r="O26">
        <f ca="1"/>
        <v>44841.917831250001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6CD4D-8E9D-4484-922D-2DE4074E3FEC}">
  <sheetPr codeName="Hárok3"/>
  <dimension ref="B2:J19"/>
  <sheetViews>
    <sheetView zoomScale="130" zoomScaleNormal="130" workbookViewId="0">
      <selection activeCell="B10" sqref="B10:D15"/>
    </sheetView>
  </sheetViews>
  <sheetFormatPr defaultRowHeight="14.5" x14ac:dyDescent="0.35"/>
  <sheetData>
    <row r="2" spans="2:10" x14ac:dyDescent="0.35"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</row>
    <row r="3" spans="2:10" x14ac:dyDescent="0.35">
      <c r="B3" t="s">
        <v>16</v>
      </c>
      <c r="C3" s="3" t="s">
        <v>16</v>
      </c>
      <c r="D3" s="3" t="s">
        <v>16</v>
      </c>
      <c r="E3" s="3" t="s">
        <v>16</v>
      </c>
      <c r="F3" t="s">
        <v>16</v>
      </c>
      <c r="G3" t="s">
        <v>16</v>
      </c>
      <c r="H3" t="s">
        <v>16</v>
      </c>
      <c r="I3" t="s">
        <v>16</v>
      </c>
      <c r="J3" t="s">
        <v>16</v>
      </c>
    </row>
    <row r="4" spans="2:10" x14ac:dyDescent="0.35">
      <c r="B4" t="s">
        <v>16</v>
      </c>
      <c r="C4" s="3" t="s">
        <v>16</v>
      </c>
      <c r="D4" s="3" t="s">
        <v>16</v>
      </c>
      <c r="E4" s="3" t="s">
        <v>16</v>
      </c>
      <c r="F4" t="s">
        <v>16</v>
      </c>
      <c r="G4" t="s">
        <v>16</v>
      </c>
      <c r="H4" t="s">
        <v>16</v>
      </c>
      <c r="I4" t="s">
        <v>16</v>
      </c>
      <c r="J4" t="s">
        <v>16</v>
      </c>
    </row>
    <row r="5" spans="2:10" x14ac:dyDescent="0.35">
      <c r="B5" s="2" t="s">
        <v>16</v>
      </c>
      <c r="C5" s="3" t="s">
        <v>16</v>
      </c>
      <c r="D5" s="3" t="s">
        <v>16</v>
      </c>
      <c r="E5" s="3" t="s">
        <v>16</v>
      </c>
      <c r="F5" s="2" t="s">
        <v>16</v>
      </c>
      <c r="G5" s="2" t="s">
        <v>16</v>
      </c>
      <c r="H5" s="2" t="s">
        <v>16</v>
      </c>
      <c r="I5" t="s">
        <v>16</v>
      </c>
      <c r="J5" t="s">
        <v>16</v>
      </c>
    </row>
    <row r="6" spans="2:10" x14ac:dyDescent="0.35">
      <c r="B6" s="2" t="s">
        <v>16</v>
      </c>
      <c r="C6" s="3" t="s">
        <v>16</v>
      </c>
      <c r="D6" s="3" t="s">
        <v>16</v>
      </c>
      <c r="E6" s="3" t="s">
        <v>16</v>
      </c>
      <c r="F6" s="2" t="s">
        <v>16</v>
      </c>
      <c r="G6" s="2" t="s">
        <v>16</v>
      </c>
      <c r="H6" s="2" t="s">
        <v>16</v>
      </c>
      <c r="I6" t="s">
        <v>16</v>
      </c>
      <c r="J6" t="s">
        <v>16</v>
      </c>
    </row>
    <row r="7" spans="2:10" x14ac:dyDescent="0.35">
      <c r="B7" s="2" t="s">
        <v>16</v>
      </c>
      <c r="C7" s="3" t="s">
        <v>16</v>
      </c>
      <c r="D7" s="3" t="s">
        <v>16</v>
      </c>
      <c r="E7" s="3" t="s">
        <v>16</v>
      </c>
      <c r="F7" s="2" t="s">
        <v>16</v>
      </c>
      <c r="G7" s="2" t="s">
        <v>16</v>
      </c>
      <c r="H7" s="2" t="s">
        <v>16</v>
      </c>
      <c r="I7" t="s">
        <v>16</v>
      </c>
      <c r="J7" t="s">
        <v>16</v>
      </c>
    </row>
    <row r="8" spans="2:10" x14ac:dyDescent="0.35">
      <c r="B8" s="2" t="s">
        <v>16</v>
      </c>
      <c r="C8" s="3" t="s">
        <v>16</v>
      </c>
      <c r="D8" s="3" t="s">
        <v>16</v>
      </c>
      <c r="E8" s="3" t="s">
        <v>16</v>
      </c>
      <c r="F8" s="2" t="s">
        <v>16</v>
      </c>
      <c r="G8" s="2" t="s">
        <v>16</v>
      </c>
      <c r="H8" s="2" t="s">
        <v>16</v>
      </c>
      <c r="I8" t="s">
        <v>16</v>
      </c>
      <c r="J8" t="s">
        <v>16</v>
      </c>
    </row>
    <row r="9" spans="2:10" x14ac:dyDescent="0.35">
      <c r="B9" s="2" t="s">
        <v>16</v>
      </c>
      <c r="C9" t="s">
        <v>16</v>
      </c>
      <c r="D9" s="2" t="s">
        <v>16</v>
      </c>
      <c r="E9" s="2" t="s">
        <v>16</v>
      </c>
      <c r="F9" s="2" t="s">
        <v>16</v>
      </c>
      <c r="G9" s="2" t="s">
        <v>16</v>
      </c>
      <c r="H9" s="2" t="s">
        <v>16</v>
      </c>
      <c r="I9" t="s">
        <v>16</v>
      </c>
      <c r="J9" t="s">
        <v>16</v>
      </c>
    </row>
    <row r="10" spans="2:10" x14ac:dyDescent="0.35">
      <c r="B10" s="5" t="s">
        <v>16</v>
      </c>
      <c r="C10" s="5" t="s">
        <v>16</v>
      </c>
      <c r="D10" s="5" t="s">
        <v>16</v>
      </c>
      <c r="E10" s="2" t="s">
        <v>16</v>
      </c>
      <c r="F10" s="2" t="s">
        <v>16</v>
      </c>
      <c r="G10" s="2" t="s">
        <v>16</v>
      </c>
      <c r="H10" s="2" t="s">
        <v>16</v>
      </c>
      <c r="I10" t="s">
        <v>16</v>
      </c>
      <c r="J10" t="s">
        <v>16</v>
      </c>
    </row>
    <row r="11" spans="2:10" x14ac:dyDescent="0.35">
      <c r="B11" s="5" t="s">
        <v>16</v>
      </c>
      <c r="C11" s="5" t="s">
        <v>16</v>
      </c>
      <c r="D11" s="5" t="s">
        <v>16</v>
      </c>
      <c r="E11" s="2" t="s">
        <v>16</v>
      </c>
      <c r="F11" s="2" t="s">
        <v>16</v>
      </c>
      <c r="G11" s="2" t="s">
        <v>16</v>
      </c>
      <c r="H11" s="2" t="s">
        <v>16</v>
      </c>
      <c r="I11" t="s">
        <v>16</v>
      </c>
      <c r="J11" t="s">
        <v>16</v>
      </c>
    </row>
    <row r="12" spans="2:10" x14ac:dyDescent="0.35">
      <c r="B12" s="5" t="s">
        <v>16</v>
      </c>
      <c r="C12" s="5" t="s">
        <v>16</v>
      </c>
      <c r="D12" s="5" t="s">
        <v>16</v>
      </c>
      <c r="E12" s="2" t="s">
        <v>16</v>
      </c>
      <c r="F12" s="4" t="s">
        <v>16</v>
      </c>
      <c r="G12" s="4" t="s">
        <v>16</v>
      </c>
      <c r="H12" s="4" t="s">
        <v>16</v>
      </c>
      <c r="I12" t="s">
        <v>16</v>
      </c>
      <c r="J12" t="s">
        <v>16</v>
      </c>
    </row>
    <row r="13" spans="2:10" x14ac:dyDescent="0.35">
      <c r="B13" s="5" t="s">
        <v>16</v>
      </c>
      <c r="C13" s="5" t="s">
        <v>16</v>
      </c>
      <c r="D13" s="5" t="s">
        <v>16</v>
      </c>
      <c r="E13" s="2" t="s">
        <v>16</v>
      </c>
      <c r="F13" s="4" t="s">
        <v>16</v>
      </c>
      <c r="G13" s="4" t="s">
        <v>16</v>
      </c>
      <c r="H13" s="4" t="s">
        <v>16</v>
      </c>
      <c r="I13" t="s">
        <v>16</v>
      </c>
      <c r="J13" t="s">
        <v>16</v>
      </c>
    </row>
    <row r="14" spans="2:10" x14ac:dyDescent="0.35">
      <c r="B14" s="5" t="s">
        <v>16</v>
      </c>
      <c r="C14" s="5" t="s">
        <v>16</v>
      </c>
      <c r="D14" s="5" t="s">
        <v>16</v>
      </c>
      <c r="E14" t="s">
        <v>16</v>
      </c>
      <c r="F14" s="4" t="s">
        <v>16</v>
      </c>
      <c r="G14" s="4" t="s">
        <v>16</v>
      </c>
      <c r="H14" s="4" t="s">
        <v>16</v>
      </c>
      <c r="I14" t="s">
        <v>16</v>
      </c>
      <c r="J14" t="s">
        <v>16</v>
      </c>
    </row>
    <row r="15" spans="2:10" x14ac:dyDescent="0.35">
      <c r="B15" s="5" t="s">
        <v>16</v>
      </c>
      <c r="C15" s="5" t="s">
        <v>16</v>
      </c>
      <c r="D15" s="5" t="s">
        <v>16</v>
      </c>
      <c r="E15" t="s">
        <v>16</v>
      </c>
      <c r="F15" s="4" t="s">
        <v>16</v>
      </c>
      <c r="G15" s="4" t="s">
        <v>16</v>
      </c>
      <c r="H15" s="4" t="s">
        <v>16</v>
      </c>
      <c r="I15" t="s">
        <v>16</v>
      </c>
      <c r="J15" t="s">
        <v>16</v>
      </c>
    </row>
    <row r="19" spans="7:7" x14ac:dyDescent="0.35">
      <c r="G19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8C3E-93A9-4B4B-BF2B-812EFAFACF19}">
  <sheetPr codeName="Hárok2"/>
  <dimension ref="A1:P7"/>
  <sheetViews>
    <sheetView workbookViewId="0">
      <selection sqref="A1:P7"/>
    </sheetView>
  </sheetViews>
  <sheetFormatPr defaultRowHeight="14.5" x14ac:dyDescent="0.35"/>
  <cols>
    <col min="2" max="2" width="9.7265625" customWidth="1"/>
    <col min="3" max="3" width="16" customWidth="1"/>
    <col min="4" max="4" width="11" customWidth="1"/>
    <col min="5" max="5" width="10.26953125" customWidth="1"/>
    <col min="6" max="6" width="16.54296875" customWidth="1"/>
    <col min="7" max="7" width="11.54296875" customWidth="1"/>
    <col min="8" max="8" width="10.81640625" customWidth="1"/>
    <col min="9" max="9" width="17.08984375" customWidth="1"/>
    <col min="10" max="10" width="12.08984375" customWidth="1"/>
    <col min="11" max="11" width="10.90625" customWidth="1"/>
    <col min="12" max="12" width="17.1796875" customWidth="1"/>
    <col min="13" max="13" width="12.1796875" customWidth="1"/>
    <col min="14" max="14" width="10.36328125" customWidth="1"/>
    <col min="15" max="15" width="16.6328125" customWidth="1"/>
    <col min="16" max="16" width="11.6328125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5">
      <c r="A2">
        <v>2015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>
        <v>897</v>
      </c>
      <c r="K2" t="s">
        <v>25</v>
      </c>
      <c r="L2" t="s">
        <v>26</v>
      </c>
      <c r="M2" t="s">
        <v>27</v>
      </c>
      <c r="N2" t="s">
        <v>28</v>
      </c>
      <c r="O2" t="s">
        <v>29</v>
      </c>
      <c r="P2" t="s">
        <v>30</v>
      </c>
    </row>
    <row r="3" spans="1:16" x14ac:dyDescent="0.35">
      <c r="A3">
        <v>2016</v>
      </c>
      <c r="B3" t="s">
        <v>31</v>
      </c>
      <c r="C3" t="s">
        <v>32</v>
      </c>
      <c r="D3" t="s">
        <v>33</v>
      </c>
      <c r="E3" t="s">
        <v>34</v>
      </c>
      <c r="F3" t="s">
        <v>35</v>
      </c>
      <c r="G3" t="s">
        <v>36</v>
      </c>
      <c r="H3" t="s">
        <v>37</v>
      </c>
      <c r="I3" t="s">
        <v>38</v>
      </c>
      <c r="J3" t="s">
        <v>39</v>
      </c>
      <c r="K3" t="s">
        <v>40</v>
      </c>
      <c r="L3" t="s">
        <v>41</v>
      </c>
      <c r="M3" t="s">
        <v>33</v>
      </c>
      <c r="N3" t="s">
        <v>42</v>
      </c>
      <c r="O3" t="s">
        <v>43</v>
      </c>
      <c r="P3" t="s">
        <v>44</v>
      </c>
    </row>
    <row r="4" spans="1:16" x14ac:dyDescent="0.35">
      <c r="A4">
        <v>2017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t="s">
        <v>50</v>
      </c>
      <c r="H4" t="s">
        <v>51</v>
      </c>
      <c r="I4" t="s">
        <v>52</v>
      </c>
      <c r="J4" t="s">
        <v>53</v>
      </c>
      <c r="K4" t="s">
        <v>54</v>
      </c>
      <c r="L4" t="s">
        <v>55</v>
      </c>
      <c r="M4" t="s">
        <v>56</v>
      </c>
      <c r="N4">
        <v>951</v>
      </c>
      <c r="O4" t="s">
        <v>57</v>
      </c>
      <c r="P4" t="s">
        <v>58</v>
      </c>
    </row>
    <row r="5" spans="1:16" x14ac:dyDescent="0.35">
      <c r="A5">
        <v>2018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  <c r="G5" t="s">
        <v>64</v>
      </c>
      <c r="H5" t="s">
        <v>65</v>
      </c>
      <c r="I5" t="s">
        <v>66</v>
      </c>
      <c r="J5" t="s">
        <v>67</v>
      </c>
      <c r="K5" t="s">
        <v>68</v>
      </c>
      <c r="L5" t="s">
        <v>69</v>
      </c>
      <c r="M5" t="s">
        <v>70</v>
      </c>
      <c r="N5" t="s">
        <v>71</v>
      </c>
      <c r="O5">
        <v>1096</v>
      </c>
      <c r="P5" t="s">
        <v>72</v>
      </c>
    </row>
    <row r="6" spans="1:16" x14ac:dyDescent="0.35">
      <c r="A6">
        <v>2019</v>
      </c>
      <c r="B6" t="s">
        <v>73</v>
      </c>
      <c r="C6" t="s">
        <v>74</v>
      </c>
      <c r="D6" t="s">
        <v>75</v>
      </c>
      <c r="E6" t="s">
        <v>76</v>
      </c>
      <c r="F6" t="s">
        <v>77</v>
      </c>
      <c r="G6" t="s">
        <v>78</v>
      </c>
      <c r="H6" t="s">
        <v>79</v>
      </c>
      <c r="I6" t="s">
        <v>80</v>
      </c>
      <c r="J6" t="s">
        <v>81</v>
      </c>
      <c r="K6" t="s">
        <v>82</v>
      </c>
      <c r="L6" t="s">
        <v>83</v>
      </c>
      <c r="M6" t="s">
        <v>84</v>
      </c>
      <c r="N6" t="s">
        <v>85</v>
      </c>
      <c r="O6" t="s">
        <v>86</v>
      </c>
      <c r="P6" t="s">
        <v>87</v>
      </c>
    </row>
    <row r="7" spans="1:16" x14ac:dyDescent="0.35">
      <c r="A7">
        <v>2020</v>
      </c>
      <c r="B7" t="s">
        <v>88</v>
      </c>
      <c r="C7" t="s">
        <v>89</v>
      </c>
      <c r="D7" t="s">
        <v>90</v>
      </c>
      <c r="E7" t="s">
        <v>91</v>
      </c>
      <c r="F7" t="s">
        <v>92</v>
      </c>
      <c r="G7">
        <v>1321</v>
      </c>
      <c r="H7" t="s">
        <v>93</v>
      </c>
      <c r="I7" t="s">
        <v>94</v>
      </c>
      <c r="J7" t="s">
        <v>95</v>
      </c>
      <c r="K7" t="s">
        <v>96</v>
      </c>
      <c r="L7" t="s">
        <v>97</v>
      </c>
      <c r="M7" t="s">
        <v>98</v>
      </c>
      <c r="N7" t="s">
        <v>99</v>
      </c>
      <c r="O7" t="s">
        <v>100</v>
      </c>
      <c r="P7">
        <v>675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AFE53-C868-4784-BBEA-94C95142449D}">
  <sheetPr codeName="Hárok4"/>
  <dimension ref="A1:P8"/>
  <sheetViews>
    <sheetView tabSelected="1" topLeftCell="I1" workbookViewId="0">
      <selection activeCell="O8" sqref="O8"/>
    </sheetView>
  </sheetViews>
  <sheetFormatPr defaultRowHeight="14.5" x14ac:dyDescent="0.35"/>
  <cols>
    <col min="2" max="2" width="9.7265625" customWidth="1"/>
    <col min="3" max="3" width="16" customWidth="1"/>
    <col min="4" max="4" width="11" customWidth="1"/>
    <col min="5" max="5" width="10.26953125" customWidth="1"/>
    <col min="6" max="6" width="16.54296875" customWidth="1"/>
    <col min="7" max="7" width="11.54296875" customWidth="1"/>
    <col min="8" max="8" width="10.81640625" customWidth="1"/>
    <col min="9" max="9" width="17.08984375" customWidth="1"/>
    <col min="10" max="10" width="12.08984375" customWidth="1"/>
    <col min="11" max="11" width="10.90625" customWidth="1"/>
    <col min="12" max="12" width="17.1796875" customWidth="1"/>
    <col min="13" max="13" width="12.1796875" customWidth="1"/>
    <col min="14" max="14" width="10.36328125" customWidth="1"/>
    <col min="15" max="15" width="16.6328125" customWidth="1"/>
    <col min="16" max="16" width="11.6328125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5">
      <c r="A2">
        <v>2015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>
        <v>897</v>
      </c>
      <c r="K2" t="s">
        <v>25</v>
      </c>
      <c r="L2" t="s">
        <v>26</v>
      </c>
      <c r="M2" t="s">
        <v>27</v>
      </c>
      <c r="N2" t="s">
        <v>28</v>
      </c>
      <c r="O2" t="s">
        <v>29</v>
      </c>
      <c r="P2" t="s">
        <v>30</v>
      </c>
    </row>
    <row r="3" spans="1:16" x14ac:dyDescent="0.35">
      <c r="A3">
        <v>2016</v>
      </c>
      <c r="B3" t="s">
        <v>31</v>
      </c>
      <c r="C3" t="s">
        <v>32</v>
      </c>
      <c r="D3" t="s">
        <v>33</v>
      </c>
      <c r="E3" t="s">
        <v>34</v>
      </c>
      <c r="F3" t="s">
        <v>35</v>
      </c>
      <c r="G3" t="s">
        <v>36</v>
      </c>
      <c r="H3" t="s">
        <v>37</v>
      </c>
      <c r="I3" t="s">
        <v>38</v>
      </c>
      <c r="J3" t="s">
        <v>39</v>
      </c>
      <c r="K3" t="s">
        <v>40</v>
      </c>
      <c r="L3" t="s">
        <v>41</v>
      </c>
      <c r="M3" t="s">
        <v>33</v>
      </c>
      <c r="N3" t="s">
        <v>42</v>
      </c>
      <c r="O3" t="s">
        <v>43</v>
      </c>
      <c r="P3" t="s">
        <v>44</v>
      </c>
    </row>
    <row r="4" spans="1:16" x14ac:dyDescent="0.35">
      <c r="A4">
        <v>2017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t="s">
        <v>50</v>
      </c>
      <c r="H4" t="s">
        <v>51</v>
      </c>
      <c r="I4" t="s">
        <v>52</v>
      </c>
      <c r="J4" t="s">
        <v>53</v>
      </c>
      <c r="K4" t="s">
        <v>54</v>
      </c>
      <c r="L4" t="s">
        <v>55</v>
      </c>
      <c r="M4" t="s">
        <v>56</v>
      </c>
      <c r="N4">
        <v>951</v>
      </c>
      <c r="O4" t="s">
        <v>57</v>
      </c>
      <c r="P4" t="s">
        <v>58</v>
      </c>
    </row>
    <row r="5" spans="1:16" x14ac:dyDescent="0.35">
      <c r="A5">
        <v>2018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  <c r="G5" t="s">
        <v>64</v>
      </c>
      <c r="H5" t="s">
        <v>65</v>
      </c>
      <c r="I5" t="s">
        <v>66</v>
      </c>
      <c r="J5" t="s">
        <v>67</v>
      </c>
      <c r="K5" t="s">
        <v>68</v>
      </c>
      <c r="L5" t="s">
        <v>69</v>
      </c>
      <c r="M5" t="s">
        <v>70</v>
      </c>
      <c r="N5" t="s">
        <v>71</v>
      </c>
      <c r="O5">
        <v>1096</v>
      </c>
      <c r="P5" t="s">
        <v>72</v>
      </c>
    </row>
    <row r="6" spans="1:16" x14ac:dyDescent="0.35">
      <c r="A6">
        <v>2019</v>
      </c>
      <c r="B6" t="s">
        <v>73</v>
      </c>
      <c r="C6" t="s">
        <v>74</v>
      </c>
      <c r="D6" t="s">
        <v>75</v>
      </c>
      <c r="E6" t="s">
        <v>76</v>
      </c>
      <c r="F6" t="s">
        <v>77</v>
      </c>
      <c r="G6" t="s">
        <v>78</v>
      </c>
      <c r="H6" t="s">
        <v>79</v>
      </c>
      <c r="I6" t="s">
        <v>80</v>
      </c>
      <c r="J6" t="s">
        <v>81</v>
      </c>
      <c r="K6" t="s">
        <v>82</v>
      </c>
      <c r="L6" t="s">
        <v>83</v>
      </c>
      <c r="M6" t="s">
        <v>84</v>
      </c>
      <c r="N6" t="s">
        <v>85</v>
      </c>
      <c r="O6" t="s">
        <v>86</v>
      </c>
      <c r="P6" t="s">
        <v>87</v>
      </c>
    </row>
    <row r="7" spans="1:16" x14ac:dyDescent="0.35">
      <c r="A7">
        <v>2020</v>
      </c>
      <c r="B7" t="s">
        <v>88</v>
      </c>
      <c r="C7" t="s">
        <v>89</v>
      </c>
      <c r="D7" t="s">
        <v>90</v>
      </c>
      <c r="E7" t="s">
        <v>91</v>
      </c>
      <c r="F7" t="s">
        <v>92</v>
      </c>
      <c r="G7">
        <v>1321</v>
      </c>
      <c r="H7" t="s">
        <v>93</v>
      </c>
      <c r="I7" t="s">
        <v>94</v>
      </c>
      <c r="J7" t="s">
        <v>95</v>
      </c>
      <c r="K7" t="s">
        <v>96</v>
      </c>
      <c r="L7" t="s">
        <v>97</v>
      </c>
      <c r="M7" t="s">
        <v>98</v>
      </c>
      <c r="N7" t="s">
        <v>99</v>
      </c>
      <c r="O7" t="s">
        <v>100</v>
      </c>
      <c r="P7">
        <v>675</v>
      </c>
    </row>
    <row r="8" spans="1:16" x14ac:dyDescent="0.35">
      <c r="A8" t="s">
        <v>101</v>
      </c>
      <c r="O8">
        <f>SUBTOTAL(103,tab_skoly[Gymnáziá (BA V)])</f>
        <v>6</v>
      </c>
      <c r="P8">
        <f>SUBTOTAL(103,tab_skoly[SOŠ (BA V)])</f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4</vt:i4>
      </vt:variant>
    </vt:vector>
  </HeadingPairs>
  <TitlesOfParts>
    <vt:vector size="4" baseType="lpstr">
      <vt:lpstr>Hárok1</vt:lpstr>
      <vt:lpstr>Hárok2</vt:lpstr>
      <vt:lpstr>dataset</vt:lpstr>
      <vt:lpstr>dataset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Reiter</dc:creator>
  <cp:lastModifiedBy>Miroslav Reiter</cp:lastModifiedBy>
  <dcterms:created xsi:type="dcterms:W3CDTF">2022-10-07T08:29:51Z</dcterms:created>
  <dcterms:modified xsi:type="dcterms:W3CDTF">2022-10-07T20:01:58Z</dcterms:modified>
</cp:coreProperties>
</file>